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R API Cost Estimate" sheetId="1" state="visible" r:id="rId1"/>
    <sheet xmlns:r="http://schemas.openxmlformats.org/officeDocument/2006/relationships" name="NDFD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00"/>
    <numFmt numFmtId="165" formatCode="$#,##0.00"/>
    <numFmt numFmtId="166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  <sz val="10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sz val="11"/>
    </font>
    <font>
      <b val="1"/>
      <sz val="14"/>
    </font>
    <font>
      <i val="1"/>
      <sz val="9"/>
    </font>
    <font>
      <b val="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048A81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C6E0B4"/>
        <bgColor rgb="00C6E0B4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right" vertical="center"/>
    </xf>
    <xf numFmtId="164" fontId="0" fillId="5" borderId="0" applyAlignment="1" pivotButton="0" quotePrefix="0" xfId="0">
      <alignment horizontal="right" vertical="center"/>
    </xf>
    <xf numFmtId="165" fontId="0" fillId="5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7" fillId="6" borderId="0" pivotButton="0" quotePrefix="0" xfId="0"/>
    <xf numFmtId="165" fontId="7" fillId="6" borderId="0" applyAlignment="1" pivotButton="0" quotePrefix="0" xfId="0">
      <alignment horizontal="right" vertical="center"/>
    </xf>
    <xf numFmtId="0" fontId="5" fillId="5" borderId="0" pivotButton="0" quotePrefix="0" xfId="0"/>
    <xf numFmtId="165" fontId="5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3" fillId="7" borderId="0" applyAlignment="1" pivotButton="0" quotePrefix="0" xfId="0">
      <alignment horizontal="center" vertical="center"/>
    </xf>
    <xf numFmtId="0" fontId="10" fillId="8" borderId="0" pivotButton="0" quotePrefix="0" xfId="0"/>
    <xf numFmtId="165" fontId="0" fillId="8" borderId="0" pivotButton="0" quotePrefix="0" xfId="0"/>
    <xf numFmtId="166" fontId="0" fillId="8" borderId="0" pivotButton="0" quotePrefix="0" xfId="0"/>
    <xf numFmtId="0" fontId="4" fillId="9" borderId="0" pivotButton="0" quotePrefix="0" xfId="0"/>
    <xf numFmtId="165" fontId="0" fillId="0" borderId="0" pivotButton="0" quotePrefix="0" xfId="0"/>
    <xf numFmtId="165" fontId="0" fillId="10" borderId="0" pivotButton="0" quotePrefix="0" xfId="0"/>
    <xf numFmtId="166" fontId="0" fillId="10" borderId="0" pivotButton="0" quotePrefix="0" xfId="0"/>
    <xf numFmtId="0" fontId="0" fillId="11" borderId="0" pivotButton="0" quotePrefix="0" xfId="0"/>
    <xf numFmtId="0" fontId="10" fillId="0" borderId="0" pivotButton="0" quotePrefix="0" xfId="0"/>
    <xf numFmtId="165" fontId="0" fillId="11" borderId="0" pivotButton="0" quotePrefix="0" xfId="0"/>
    <xf numFmtId="166" fontId="0" fillId="11" borderId="0" pivotButton="0" quotePrefix="0" xfId="0"/>
    <xf numFmtId="0" fontId="7" fillId="8" borderId="0" applyAlignment="1" pivotButton="0" quotePrefix="0" xfId="0">
      <alignment horizontal="left" vertical="center"/>
    </xf>
    <xf numFmtId="165" fontId="7" fillId="8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left" vertical="center"/>
    </xf>
    <xf numFmtId="165" fontId="0" fillId="8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16" customWidth="1" min="4" max="4"/>
    <col width="12" customWidth="1" min="5" max="5"/>
    <col width="14" customWidth="1" min="6" max="6"/>
    <col width="12" customWidth="1" min="7" max="7"/>
    <col width="13" customWidth="1" min="8" max="8"/>
    <col width="16" customWidth="1" min="9" max="9"/>
    <col width="18" customWidth="1" min="10" max="10"/>
    <col width="16" customWidth="1" min="11" max="11"/>
    <col width="45" customWidth="1" min="12" max="12"/>
  </cols>
  <sheetData>
    <row r="1" ht="30" customHeight="1">
      <c r="A1" s="1" t="inlineStr">
        <is>
          <t>NWSViz IOC EDR-API AWS Cost Estimate — m8i.4xlarge (EKS)</t>
        </is>
      </c>
    </row>
    <row r="2" ht="18" customHeight="1">
      <c r="A2" s="2" t="inlineStr">
        <is>
          <t>Region: US East (N. Virginia)  |  Cluster: edr-api (EKS)  |  Namespace: edr-api  |  Pricing: On-Demand unless noted</t>
        </is>
      </c>
    </row>
    <row r="3" ht="40" customHeight="1">
      <c r="A3" s="3" t="inlineStr">
        <is>
          <t>Component</t>
        </is>
      </c>
      <c r="B3" s="3" t="inlineStr">
        <is>
          <t>Description</t>
        </is>
      </c>
      <c r="C3" s="3" t="inlineStr">
        <is>
          <t>Unit</t>
        </is>
      </c>
      <c r="D3" s="3" t="inlineStr">
        <is>
          <t>Unit Price (USD)</t>
        </is>
      </c>
      <c r="E3" s="3" t="inlineStr">
        <is>
          <t>Min (2 pods)</t>
        </is>
      </c>
      <c r="F3" s="3" t="inlineStr">
        <is>
          <t>Typical (6 pods)</t>
        </is>
      </c>
      <c r="G3" s="3" t="inlineStr">
        <is>
          <t>Peak (28 pods)</t>
        </is>
      </c>
      <c r="H3" s="3" t="inlineStr">
        <is>
          <t>Hours/Month</t>
        </is>
      </c>
      <c r="I3" s="3" t="inlineStr">
        <is>
          <t>Min Cost/Month</t>
        </is>
      </c>
      <c r="J3" s="3" t="inlineStr">
        <is>
          <t>Typical Cost/Month</t>
        </is>
      </c>
      <c r="K3" s="3" t="inlineStr">
        <is>
          <t>Peak Cost/Month</t>
        </is>
      </c>
      <c r="L3" s="3" t="inlineStr">
        <is>
          <t>Notes</t>
        </is>
      </c>
    </row>
    <row r="4" ht="22" customHeight="1">
      <c r="A4" s="4" t="inlineStr">
        <is>
          <t>COST COMPONENT 1 — EKS Compute (m8i.4xlarge Node Group)</t>
        </is>
      </c>
    </row>
    <row r="5" ht="28" customHeight="1">
      <c r="A5" s="5" t="inlineStr">
        <is>
          <t>EKS Worker Nodes (On-Demand)</t>
        </is>
      </c>
      <c r="B5" s="6" t="inlineStr">
        <is>
          <t>m8i.4xlarge (64GB RAM, 16 vCPU) — 1 pod per node</t>
        </is>
      </c>
      <c r="C5" s="6" t="inlineStr">
        <is>
          <t>node-hour</t>
        </is>
      </c>
      <c r="D5" s="7" t="n">
        <v>0.84672</v>
      </c>
      <c r="E5" s="6" t="n">
        <v>2</v>
      </c>
      <c r="F5" s="6" t="n">
        <v>6</v>
      </c>
      <c r="G5" s="6" t="n">
        <v>28</v>
      </c>
      <c r="H5" s="6" t="n">
        <v>730</v>
      </c>
      <c r="I5" s="8">
        <f>D5*E5*H5</f>
        <v/>
      </c>
      <c r="J5" s="8">
        <f>D5*F5*H5</f>
        <v/>
      </c>
      <c r="K5" s="8">
        <f>D5*G5*H5</f>
        <v/>
      </c>
      <c r="L5" s="9" t="inlineStr">
        <is>
          <t>KEDA autoscales 2-50 pods. Pre-scale to 12 for operational deployment. Max concurrency testing validated 28 pods @ 3421 req/s (~122 req/s per pod).</t>
        </is>
      </c>
    </row>
    <row r="6" ht="28" customHeight="1">
      <c r="A6" s="10" t="inlineStr">
        <is>
          <t>EKS Worker Nodes (w/ Reserved Instances)</t>
        </is>
      </c>
      <c r="B6" s="11" t="inlineStr">
        <is>
          <t>m8i.4xlarge 1yr Reserved — $0.5208/hr (~38% savings vs On-Demand) - reserve typical baseline, burst On-Demand</t>
        </is>
      </c>
      <c r="C6" s="11" t="inlineStr">
        <is>
          <t>node-hour</t>
        </is>
      </c>
      <c r="D6" s="12" t="n">
        <v>0.5208</v>
      </c>
      <c r="E6" s="11" t="n">
        <v>2</v>
      </c>
      <c r="F6" s="11" t="n">
        <v>6</v>
      </c>
      <c r="G6" s="11" t="n">
        <v>6</v>
      </c>
      <c r="H6" s="11" t="n">
        <v>730</v>
      </c>
      <c r="I6" s="13">
        <f>D6*E6*H6</f>
        <v/>
      </c>
      <c r="J6" s="13">
        <f>D6*F6*H6</f>
        <v/>
      </c>
      <c r="K6" s="13">
        <f>D6*G6*H6</f>
        <v/>
      </c>
      <c r="L6" s="14" t="inlineStr">
        <is>
          <t>Negative value = monthly savings if baseline 2 nodes are Reserved. Burst nodes above 2 remain On-Demand.</t>
        </is>
      </c>
    </row>
    <row r="7" ht="28" customHeight="1">
      <c r="A7" s="10" t="inlineStr">
        <is>
          <t>EKS Worker Nodes (w/ Compute Savings Plan)</t>
        </is>
      </c>
      <c r="B7" s="11" t="inlineStr">
        <is>
          <t>m8i.4xlarge 1yr Compute Savings Plan — $0.406/hr (~52% savings vs On-Demand) - ALL nodes at CSP rate</t>
        </is>
      </c>
      <c r="C7" s="11" t="inlineStr">
        <is>
          <t>node-hour</t>
        </is>
      </c>
      <c r="D7" s="11" t="n">
        <v>0.40643</v>
      </c>
      <c r="E7" s="11" t="n">
        <v>2</v>
      </c>
      <c r="F7" s="11" t="n">
        <v>6</v>
      </c>
      <c r="G7" s="11" t="n">
        <v>28</v>
      </c>
      <c r="H7" s="11" t="n">
        <v>730</v>
      </c>
      <c r="I7" s="11">
        <f>D7*E7*H7</f>
        <v/>
      </c>
      <c r="J7" s="11">
        <f>D7*F7*H7</f>
        <v/>
      </c>
      <c r="K7" s="11">
        <f>D7*G7*H7</f>
        <v/>
      </c>
      <c r="L7" s="14" t="inlineStr">
        <is>
          <t>Negative value = monthly savings if baseline 2 nodes use Compute Savings Plan. More flexible than RI — applies to any EC2/Fargate compute. Burst nodes above 2 remain On-Demand.</t>
        </is>
      </c>
    </row>
    <row r="8" ht="28" customHeight="1">
      <c r="A8" s="5" t="inlineStr">
        <is>
          <t>EKS Cluster Fee</t>
        </is>
      </c>
      <c r="B8" s="6" t="inlineStr">
        <is>
          <t>Managed control plane — flat fee</t>
        </is>
      </c>
      <c r="C8" s="6" t="inlineStr">
        <is>
          <t>cluster-hour</t>
        </is>
      </c>
      <c r="D8" s="7" t="n">
        <v>0.1</v>
      </c>
      <c r="E8" s="6" t="n">
        <v>1</v>
      </c>
      <c r="F8" s="6" t="n">
        <v>1</v>
      </c>
      <c r="G8" s="6" t="n">
        <v>1</v>
      </c>
      <c r="H8" s="6" t="n">
        <v>730</v>
      </c>
      <c r="I8" s="8">
        <f>D8*E8*H8</f>
        <v/>
      </c>
      <c r="J8" s="8">
        <f>D8*F8*H8</f>
        <v/>
      </c>
      <c r="K8" s="8">
        <f>D8*G8*H8</f>
        <v/>
      </c>
      <c r="L8" s="9" t="inlineStr">
        <is>
          <t>Flat $0.10/hr per cluster regardless of node count.</t>
        </is>
      </c>
    </row>
    <row r="9" ht="22" customHeight="1">
      <c r="A9" s="5" t="inlineStr">
        <is>
          <t>EBS Storage (gp3)</t>
        </is>
      </c>
      <c r="D9" t="n">
        <v>0.08</v>
      </c>
      <c r="E9" t="n">
        <v>200</v>
      </c>
      <c r="F9" t="n">
        <v>600</v>
      </c>
      <c r="G9" t="n">
        <v>2800</v>
      </c>
      <c r="H9" t="n">
        <v>1</v>
      </c>
      <c r="I9">
        <f>D9*E9</f>
        <v/>
      </c>
      <c r="J9">
        <f>D9*F9</f>
        <v/>
      </c>
      <c r="K9">
        <f>D9*G9</f>
        <v/>
      </c>
    </row>
    <row r="10" ht="28" customHeight="1">
      <c r="A10" s="4" t="inlineStr">
        <is>
          <t>COST COMPONENT 2 — Redis Cache (Self-Managed, Kubernetes)</t>
        </is>
      </c>
    </row>
    <row r="11" ht="22" customHeight="1">
      <c r="A11" s="5" t="inlineStr">
        <is>
          <t>Redis Pod (EBS-backed)</t>
        </is>
      </c>
      <c r="D11" t="n">
        <v>0.08</v>
      </c>
      <c r="E11" t="n">
        <v>50</v>
      </c>
      <c r="F11" t="n">
        <v>50</v>
      </c>
      <c r="G11" t="n">
        <v>50</v>
      </c>
      <c r="H11" t="n">
        <v>1</v>
      </c>
      <c r="I11">
        <f>D11*E11</f>
        <v/>
      </c>
      <c r="J11">
        <f>D11*F11</f>
        <v/>
      </c>
      <c r="K11">
        <f>D11*G11</f>
        <v/>
      </c>
    </row>
    <row r="12" ht="28" customHeight="1">
      <c r="A12" s="4" t="inlineStr">
        <is>
          <t>COST COMPONENT 3 — Application Load Balancer (ALB)</t>
        </is>
      </c>
    </row>
    <row r="13" ht="28" customHeight="1">
      <c r="A13" s="5" t="inlineStr">
        <is>
          <t>ALB Base Fee</t>
        </is>
      </c>
      <c r="B13" s="6" t="inlineStr">
        <is>
          <t>ALB hourly charge</t>
        </is>
      </c>
      <c r="C13" s="6" t="inlineStr">
        <is>
          <t>hour</t>
        </is>
      </c>
      <c r="D13" s="7" t="n">
        <v>0.0225</v>
      </c>
      <c r="E13" s="6" t="n">
        <v>1</v>
      </c>
      <c r="F13" s="6" t="n">
        <v>1</v>
      </c>
      <c r="G13" s="6" t="n">
        <v>1</v>
      </c>
      <c r="H13" s="6" t="n">
        <v>730</v>
      </c>
      <c r="I13" s="8">
        <f>D13*H13</f>
        <v/>
      </c>
      <c r="J13" s="8">
        <f>D13*H13</f>
        <v/>
      </c>
      <c r="K13" s="8">
        <f>D13*H13</f>
        <v/>
      </c>
      <c r="L13" s="9" t="inlineStr">
        <is>
          <t>Flat hourly fee regardless of traffic.</t>
        </is>
      </c>
    </row>
    <row r="14" ht="22" customHeight="1">
      <c r="A14" s="5" t="inlineStr">
        <is>
          <t>ALB LCU Charges</t>
        </is>
      </c>
      <c r="D14" t="n">
        <v>0.008</v>
      </c>
      <c r="E14" t="n">
        <v>2</v>
      </c>
      <c r="F14" t="n">
        <v>12</v>
      </c>
      <c r="G14" t="n">
        <v>137</v>
      </c>
      <c r="H14" t="n">
        <v>730</v>
      </c>
      <c r="I14">
        <f>D14*E14*H14</f>
        <v/>
      </c>
      <c r="J14">
        <f>D14*F14*H14</f>
        <v/>
      </c>
      <c r="K14">
        <f>D14*G14*H14</f>
        <v/>
      </c>
    </row>
    <row r="15" ht="28" customHeight="1">
      <c r="A15" s="4" t="inlineStr">
        <is>
          <t>COST COMPONENT 4 — Data Egress</t>
        </is>
      </c>
    </row>
    <row r="16" ht="22" customHeight="1">
      <c r="A16" s="5" t="inlineStr">
        <is>
          <t>Internet Egress</t>
        </is>
      </c>
      <c r="D16" t="n">
        <v>0.09</v>
      </c>
      <c r="E16" t="n">
        <v>263</v>
      </c>
      <c r="F16" t="n">
        <v>8500</v>
      </c>
      <c r="G16" t="n">
        <v>24000</v>
      </c>
      <c r="H16" t="n">
        <v>1</v>
      </c>
      <c r="I16">
        <f>MAX(0,D16*(E16-100))</f>
        <v/>
      </c>
      <c r="J16">
        <f>MAX(0,D16*(F16-100))</f>
        <v/>
      </c>
      <c r="K16">
        <f>MAX(0,D16*(G16-100))</f>
        <v/>
      </c>
      <c r="O16" s="9" t="inlineStr">
        <is>
          <t>First 100GB/month free. $0.09/GB thereafter. Based on Prometheus TX metrics from load testing. Assumes 2hr/day at peak load, 6hr/day at moderate load.</t>
        </is>
      </c>
    </row>
    <row r="17" ht="28" customHeight="1">
      <c r="A17" s="4" t="inlineStr">
        <is>
          <t>COST COMPONENT 5 — Container Registry (ECR)</t>
        </is>
      </c>
    </row>
    <row r="18" ht="22" customHeight="1">
      <c r="A18" s="5" t="inlineStr">
        <is>
          <t>ECR Storage</t>
        </is>
      </c>
      <c r="D18" t="n">
        <v>0.1</v>
      </c>
      <c r="E18" t="n">
        <v>20</v>
      </c>
      <c r="F18" t="n">
        <v>20</v>
      </c>
      <c r="G18" t="n">
        <v>20</v>
      </c>
      <c r="H18" t="n">
        <v>1</v>
      </c>
      <c r="I18">
        <f>D18*E18</f>
        <v/>
      </c>
      <c r="J18">
        <f>D18*F18</f>
        <v/>
      </c>
      <c r="K18">
        <f>D18*G18</f>
        <v/>
      </c>
    </row>
    <row r="19" ht="28" customHeight="1">
      <c r="A19" s="4" t="inlineStr">
        <is>
          <t>MONTHLY COST SUMMARY</t>
        </is>
      </c>
    </row>
    <row r="20" ht="28" customHeight="1">
      <c r="A20" s="35" t="inlineStr">
        <is>
          <t>TOTAL MONTHLY COST (On-Demand)</t>
        </is>
      </c>
      <c r="I20" s="36">
        <f>SUM(I5,I8,I9,I11,I13,I14,I16,I18)</f>
        <v/>
      </c>
      <c r="J20" s="36">
        <f>SUM(J5,J8,J9,J11,J13,J14,J16,J18)</f>
        <v/>
      </c>
      <c r="K20" s="36">
        <f>SUM(K5,K8,K9,K11,K13,K14,K16,K18)</f>
        <v/>
      </c>
      <c r="L20" s="16" t="n"/>
    </row>
    <row r="21" ht="28" customHeight="1">
      <c r="A21" s="37" t="inlineStr">
        <is>
          <t>TOTAL MONTHLY COST (w/ RI on typical baseline, burst On-Demand)</t>
        </is>
      </c>
      <c r="I21" s="19">
        <f>I20-I5+I6</f>
        <v/>
      </c>
      <c r="J21" s="19">
        <f>J20-J5+J6</f>
        <v/>
      </c>
      <c r="K21" s="19">
        <f>K20-K5+K6</f>
        <v/>
      </c>
      <c r="L21" s="18" t="n"/>
    </row>
    <row r="22" ht="28" customHeight="1">
      <c r="A22" s="37" t="inlineStr">
        <is>
          <t>TOTAL MONTHLY COST (w/ Compute Savings Plan - all nodes)</t>
        </is>
      </c>
      <c r="I22" s="19">
        <f>I20-I5+I7</f>
        <v/>
      </c>
      <c r="J22" s="19">
        <f>J20-J5+J7</f>
        <v/>
      </c>
      <c r="K22" s="19">
        <f>K20-K5+K7</f>
        <v/>
      </c>
      <c r="L22" s="18" t="n"/>
    </row>
    <row r="23">
      <c r="A23" s="35" t="inlineStr">
        <is>
          <t>TOTAL ANNUAL COST (On-Demand)</t>
        </is>
      </c>
      <c r="I23" s="38">
        <f>I20*12</f>
        <v/>
      </c>
      <c r="J23" s="38">
        <f>J20*12</f>
        <v/>
      </c>
      <c r="K23" s="38">
        <f>K20*12</f>
        <v/>
      </c>
    </row>
    <row r="24" ht="22" customHeight="1">
      <c r="A24" s="39" t="inlineStr">
        <is>
          <t>TOTAL ANNUAL COST (w/ RI)</t>
        </is>
      </c>
      <c r="I24" s="8">
        <f>I21*12</f>
        <v/>
      </c>
      <c r="J24" s="8">
        <f>J21*12</f>
        <v/>
      </c>
      <c r="K24" s="8">
        <f>K21*12</f>
        <v/>
      </c>
    </row>
    <row r="25" ht="30" customHeight="1">
      <c r="A25" s="39" t="inlineStr">
        <is>
          <t>TOTAL ANNUAL COST (w/ Compute Savings Plan)</t>
        </is>
      </c>
      <c r="I25" s="8">
        <f>I22*12</f>
        <v/>
      </c>
      <c r="J25" s="8">
        <f>J22*12</f>
        <v/>
      </c>
      <c r="K25" s="8">
        <f>K22*12</f>
        <v/>
      </c>
    </row>
    <row r="26" ht="30" customHeight="1"/>
    <row r="27" ht="30" customHeight="1">
      <c r="A27" s="4" t="inlineStr">
        <is>
          <t>ASSUMPTIONS &amp; NOTES</t>
        </is>
      </c>
    </row>
    <row r="28" ht="30" customHeight="1">
      <c r="A28" s="5" t="inlineStr">
        <is>
          <t>Pricing model</t>
        </is>
      </c>
      <c r="B28" s="9" t="inlineStr">
        <is>
          <t>On-Demand pricing baseline. RI (1yr No Upfront) $0.5208/hr saves ~38% - reserve typical baseline (2 for Min, 6 for Typical/Peak), burst nodes remain On-Demand. Compute Savings Plan (1yr No Upfront) $0.406/hr saves ~52% on ALL nodes with flexibility.</t>
        </is>
      </c>
    </row>
    <row r="29" ht="30" customHeight="1">
      <c r="A29" s="5" t="inlineStr">
        <is>
          <t>Pod-to-node ratio</t>
        </is>
      </c>
      <c r="B29" s="9" t="inlineStr">
        <is>
          <t>1 pod per m8i.4xlarge node (58GB pod limit on 64GB node). Node count = pod count.</t>
        </is>
      </c>
    </row>
    <row r="30" ht="30" customHeight="1">
      <c r="A30" s="5" t="inlineStr">
        <is>
          <t>Scaling scenarios</t>
        </is>
      </c>
      <c r="B30" s="9" t="inlineStr">
        <is>
          <t>Min=2 pods (HA baseline, always running). Typical=6 pods (500-1000 concurrent users, typical baseline for RI). Peak=28 pods (5000 users max concurrency, validated @ 3421 req/s with 0.78% failure rate, 6 RI + 22 On-Demand).</t>
        </is>
      </c>
    </row>
    <row r="31" ht="30" customHeight="1">
      <c r="A31" s="5" t="inlineStr">
        <is>
          <t>Egress basis</t>
        </is>
      </c>
      <c r="B31" s="9" t="inlineStr">
        <is>
          <t>Network TX from Prometheus load test metrics. Assumes 2hr/day at peak load + 6hr/day at moderate load. First 100GB/month free.</t>
        </is>
      </c>
    </row>
    <row r="32" ht="30" customHeight="1">
      <c r="A32" s="5" t="inlineStr">
        <is>
          <t>ALB LCU</t>
        </is>
      </c>
      <c r="B32" s="9" t="inlineStr">
        <is>
          <t>LCU driven by new connections dimension (25 new conn/s per LCU). ALB sees request bytes only — large zarr chunk responses bypass ALB byte accounting.</t>
        </is>
      </c>
    </row>
    <row r="33">
      <c r="A33" s="5" t="inlineStr">
        <is>
          <t>CoreDNS resources</t>
        </is>
      </c>
      <c r="B33" s="9" t="inlineStr">
        <is>
          <t>CoreDNS pods increased from default 70Mi/100m to 256Mi request, 512Mi limit, 200m CPU to handle high DNS query volume from 25+ API pods. Critical for preventing CrashLoopBackOff under load.</t>
        </is>
      </c>
    </row>
    <row r="34">
      <c r="A34" s="5" t="inlineStr">
        <is>
          <t>Redis</t>
        </is>
      </c>
      <c r="B34" s="9" t="inlineStr">
        <is>
          <t>Self-managed Redis pod on existing cluster nodes. No additional EC2 cost — only EBS storage for persistence. Shared across production and memory deployments.</t>
        </is>
      </c>
    </row>
    <row r="35">
      <c r="A35" s="5" t="inlineStr">
        <is>
          <t>Not included</t>
        </is>
      </c>
      <c r="B35" s="9" t="inlineStr">
        <is>
          <t>S3 storage/request costs for icechunk zarr data (data team responsibility). VPC, NAT Gateway, Route53 (shared infrastructure). MRMS ingest nodes.</t>
        </is>
      </c>
    </row>
    <row r="36">
      <c r="A36" s="5" t="inlineStr">
        <is>
          <t>vs. current production</t>
        </is>
      </c>
      <c r="B36" s="9" t="inlineStr">
        <is>
          <t>m5n.4xlarge On-Demand: $0.952/hr. m8i.4xlarge: $0.847/hr — 11% lower cost with 40% higher throughput per pod.</t>
        </is>
      </c>
    </row>
  </sheetData>
  <mergeCells count="23">
    <mergeCell ref="B26:L26"/>
    <mergeCell ref="A24:H24"/>
    <mergeCell ref="B31:L31"/>
    <mergeCell ref="A12:L12"/>
    <mergeCell ref="B27:L27"/>
    <mergeCell ref="A2:L2"/>
    <mergeCell ref="A25:H25"/>
    <mergeCell ref="A17:L17"/>
    <mergeCell ref="A4:L4"/>
    <mergeCell ref="A21:H21"/>
    <mergeCell ref="A10:L10"/>
    <mergeCell ref="A19:L19"/>
    <mergeCell ref="B29:L29"/>
    <mergeCell ref="B34:L34"/>
    <mergeCell ref="B28:L28"/>
    <mergeCell ref="A23:H23"/>
    <mergeCell ref="A22:H22"/>
    <mergeCell ref="A15:L15"/>
    <mergeCell ref="B30:L30"/>
    <mergeCell ref="A20:H20"/>
    <mergeCell ref="B33:L33"/>
    <mergeCell ref="A1:L1"/>
    <mergeCell ref="B32:L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1" t="inlineStr">
        <is>
          <t>EDR-API vs NDFD Frontend Cost Comparison</t>
        </is>
      </c>
    </row>
    <row r="2">
      <c r="A2" s="22" t="inlineStr">
        <is>
          <t>Analysis Period: Feb 25 - Mar 23, 2025 (27 days) | Comparison: Annual Costs</t>
        </is>
      </c>
    </row>
    <row r="4">
      <c r="A4" s="23" t="inlineStr">
        <is>
          <t>Scenario</t>
        </is>
      </c>
      <c r="B4" s="23" t="inlineStr">
        <is>
          <t>Monthly Cost</t>
        </is>
      </c>
      <c r="C4" s="23" t="inlineStr">
        <is>
          <t>Annual Cost</t>
        </is>
      </c>
      <c r="D4" s="23" t="inlineStr">
        <is>
          <t>vs NDFD</t>
        </is>
      </c>
      <c r="E4" s="23" t="inlineStr">
        <is>
          <t>% Change</t>
        </is>
      </c>
    </row>
    <row r="5">
      <c r="A5" s="24" t="inlineStr">
        <is>
          <t>NDFD Frontend API (Current)</t>
        </is>
      </c>
      <c r="B5" s="25" t="n">
        <v>5230.13</v>
      </c>
      <c r="C5" s="25" t="n">
        <v>62761.6</v>
      </c>
      <c r="D5" s="25" t="n">
        <v>0</v>
      </c>
      <c r="E5" s="26" t="n">
        <v>0</v>
      </c>
    </row>
    <row r="7">
      <c r="A7" s="27" t="inlineStr">
        <is>
          <t>EDR-API SCENARIOS</t>
        </is>
      </c>
    </row>
    <row r="8">
      <c r="A8" t="inlineStr">
        <is>
          <t>EDR-API Min (2 pods) - On-Demand</t>
        </is>
      </c>
      <c r="B8" s="28">
        <f>'EDR API Cost Estimate'!I20</f>
        <v/>
      </c>
      <c r="C8" s="28">
        <f>'EDR API Cost Estimate'!I23</f>
        <v/>
      </c>
      <c r="D8" s="29">
        <f>C8-$C$5</f>
        <v/>
      </c>
      <c r="E8" s="30">
        <f>D8/$C$5</f>
        <v/>
      </c>
    </row>
    <row r="9">
      <c r="A9" t="inlineStr">
        <is>
          <t>EDR-API Min (2 pods) - w/ RI</t>
        </is>
      </c>
      <c r="B9" s="28">
        <f>'EDR API Cost Estimate'!I21</f>
        <v/>
      </c>
      <c r="C9" s="28">
        <f>'EDR API Cost Estimate'!I24</f>
        <v/>
      </c>
      <c r="D9" s="29">
        <f>C9-$C$5</f>
        <v/>
      </c>
      <c r="E9" s="30">
        <f>D9/$C$5</f>
        <v/>
      </c>
    </row>
    <row r="10">
      <c r="A10" t="inlineStr">
        <is>
          <t>EDR-API Min (2 pods) - w/ Compute Savings</t>
        </is>
      </c>
      <c r="B10" s="28">
        <f>'EDR API Cost Estimate'!I22</f>
        <v/>
      </c>
      <c r="C10" s="28">
        <f>'EDR API Cost Estimate'!I25</f>
        <v/>
      </c>
      <c r="D10" s="29">
        <f>C10-$C$5</f>
        <v/>
      </c>
      <c r="E10" s="30">
        <f>D10/$C$5</f>
        <v/>
      </c>
    </row>
    <row r="11">
      <c r="D11" s="31" t="n"/>
      <c r="E11" s="31" t="n"/>
    </row>
    <row r="12">
      <c r="A12" s="32" t="inlineStr">
        <is>
          <t>EDR-API Typical (6 pods) - On-Demand</t>
        </is>
      </c>
      <c r="B12" s="28">
        <f>'EDR API Cost Estimate'!J20</f>
        <v/>
      </c>
      <c r="C12" s="28">
        <f>'EDR API Cost Estimate'!J23</f>
        <v/>
      </c>
      <c r="D12" s="29">
        <f>C12-$C$5</f>
        <v/>
      </c>
      <c r="E12" s="30">
        <f>D12/$C$5</f>
        <v/>
      </c>
    </row>
    <row r="13">
      <c r="A13" s="32" t="inlineStr">
        <is>
          <t>EDR-API Typical (6 pods) - w/ RI</t>
        </is>
      </c>
      <c r="B13" s="28">
        <f>'EDR API Cost Estimate'!J21</f>
        <v/>
      </c>
      <c r="C13" s="28">
        <f>'EDR API Cost Estimate'!J24</f>
        <v/>
      </c>
      <c r="D13" s="29">
        <f>C13-$C$5</f>
        <v/>
      </c>
      <c r="E13" s="30">
        <f>D13/$C$5</f>
        <v/>
      </c>
    </row>
    <row r="14">
      <c r="A14" s="32" t="inlineStr">
        <is>
          <t>EDR-API Typical (6 pods) - w/ Compute Savings</t>
        </is>
      </c>
      <c r="B14" s="28">
        <f>'EDR API Cost Estimate'!J22</f>
        <v/>
      </c>
      <c r="C14" s="28">
        <f>'EDR API Cost Estimate'!J25</f>
        <v/>
      </c>
      <c r="D14" s="29">
        <f>C14-$C$5</f>
        <v/>
      </c>
      <c r="E14" s="30">
        <f>D14/$C$5</f>
        <v/>
      </c>
    </row>
    <row r="15">
      <c r="D15" s="31" t="n"/>
      <c r="E15" s="31" t="n"/>
    </row>
    <row r="16">
      <c r="A16" t="inlineStr">
        <is>
          <t>EDR-API Peak (28 pods) - On-Demand</t>
        </is>
      </c>
      <c r="B16" s="28">
        <f>'EDR API Cost Estimate'!K20</f>
        <v/>
      </c>
      <c r="C16" s="28">
        <f>'EDR API Cost Estimate'!K23</f>
        <v/>
      </c>
      <c r="D16" s="33">
        <f>C16-$C$5</f>
        <v/>
      </c>
      <c r="E16" s="34">
        <f>D16/$C$5</f>
        <v/>
      </c>
    </row>
    <row r="17">
      <c r="A17" t="inlineStr">
        <is>
          <t>EDR-API Peak (28 pods) - w/ RI</t>
        </is>
      </c>
      <c r="B17" s="28">
        <f>'EDR API Cost Estimate'!K21</f>
        <v/>
      </c>
      <c r="C17" s="28">
        <f>'EDR API Cost Estimate'!K24</f>
        <v/>
      </c>
      <c r="D17" s="33">
        <f>C17-$C$5</f>
        <v/>
      </c>
      <c r="E17" s="34">
        <f>D17/$C$5</f>
        <v/>
      </c>
    </row>
    <row r="18">
      <c r="A18" t="inlineStr">
        <is>
          <t>EDR-API Peak (28 pods) - w/ Compute Savings</t>
        </is>
      </c>
      <c r="B18" s="28">
        <f>'EDR API Cost Estimate'!K22</f>
        <v/>
      </c>
      <c r="C18" s="28">
        <f>'EDR API Cost Estimate'!K25</f>
        <v/>
      </c>
      <c r="D18" s="33">
        <f>C18-$C$5</f>
        <v/>
      </c>
      <c r="E18" s="34">
        <f>D18/$C$5</f>
        <v/>
      </c>
    </row>
    <row r="20">
      <c r="A20" s="27" t="inlineStr">
        <is>
          <t>KEY FINDINGS</t>
        </is>
      </c>
    </row>
    <row r="21">
      <c r="A21" s="32" t="inlineStr">
        <is>
          <t>NDFD Frontend API Components (from WOC billing data):</t>
        </is>
      </c>
    </row>
    <row r="22">
      <c r="A22" t="inlineStr">
        <is>
          <t xml:space="preserve">  • ndfd-prod-frontend-asg-node: $4,288/month</t>
        </is>
      </c>
    </row>
    <row r="23">
      <c r="A23" t="inlineStr">
        <is>
          <t xml:space="preserve">  • ndfd-dev-frontend-asg-node: $419/month</t>
        </is>
      </c>
    </row>
    <row r="24">
      <c r="A24" s="32" t="inlineStr">
        <is>
          <t xml:space="preserve">  • Total: $5,230/month ($62,762/year)</t>
        </is>
      </c>
    </row>
    <row r="26">
      <c r="A26" s="32" t="inlineStr">
        <is>
          <t>Cost Comparison Summary:</t>
        </is>
      </c>
    </row>
    <row r="27">
      <c r="A27" t="inlineStr">
        <is>
          <t xml:space="preserve">  • EDR-API at Typical load (6 pods) would SAVE $6,624 - $14,338/year (11-23%)</t>
        </is>
      </c>
    </row>
    <row r="28">
      <c r="A28" t="inlineStr">
        <is>
          <t xml:space="preserve">  • EDR-API at Min load (2 pods) would SAVE $46,274 - $53,988/year (74-86%)</t>
        </is>
      </c>
    </row>
    <row r="29">
      <c r="A29" t="inlineStr">
        <is>
          <t xml:space="preserve">  • EDR-API at Peak load (28 pods) would COST $176,454 - $184,168/year MORE (281-293%)</t>
        </is>
      </c>
    </row>
    <row r="31">
      <c r="A31" s="32" t="inlineStr">
        <is>
          <t>Recommendation:</t>
        </is>
      </c>
    </row>
    <row r="32">
      <c r="A32" t="inlineStr">
        <is>
          <t xml:space="preserve">  • If NDFD traffic patterns match our "Typical" scenario (6 pods), EDR-API provides cost savings</t>
        </is>
      </c>
    </row>
    <row r="33">
      <c r="A33" t="inlineStr">
        <is>
          <t xml:space="preserve">  • With Compute Savings Plan, EDR-API Typical scenario costs $48,424/year vs NDFD $62,762/year</t>
        </is>
      </c>
    </row>
    <row r="34">
      <c r="A34" t="inlineStr">
        <is>
          <t xml:space="preserve">  • Load testing validated 28 pods @ 3,421 req/s with 0.78% failure rate (post-CoreDNS fix)</t>
        </is>
      </c>
    </row>
    <row r="35">
      <c r="A35" t="inlineStr">
        <is>
          <t xml:space="preserve">  • Per-pod capacity: ~122 req/s, allowing flexible scaling based on actual demand</t>
        </is>
      </c>
    </row>
    <row r="37">
      <c r="A37" s="27" t="inlineStr">
        <is>
          <t>NOTES</t>
        </is>
      </c>
    </row>
    <row r="38">
      <c r="A38" t="inlineStr">
        <is>
          <t xml:space="preserve">  • NDFD costs based on WOC billing snapshot Feb 25 - Mar 23, 2025 (27 days)</t>
        </is>
      </c>
    </row>
    <row r="39">
      <c r="A39" t="inlineStr">
        <is>
          <t xml:space="preserve">  • NDFD comparison includes only frontend ASG nodes (excludes frontend2, DB, FSx, ingest)</t>
        </is>
      </c>
    </row>
    <row r="40">
      <c r="A40" t="inlineStr">
        <is>
          <t xml:space="preserve">  • EDR-API costs include: EKS nodes, cluster fee, EBS, Redis, ALB, data egress, ECR</t>
        </is>
      </c>
    </row>
    <row r="41">
      <c r="A41" t="inlineStr">
        <is>
          <t xml:space="preserve">  • EDR-API uses m8i.4xlarge instances (64GB RAM, 16 vCPU) with KEDA autoscaling</t>
        </is>
      </c>
    </row>
    <row r="42">
      <c r="A42" t="inlineStr">
        <is>
          <t xml:space="preserve">  • Compute Savings Plan offers 52% savings vs On-Demand with flexibility across instance types</t>
        </is>
      </c>
    </row>
  </sheetData>
  <mergeCells count="23">
    <mergeCell ref="A39:E39"/>
    <mergeCell ref="A34:E34"/>
    <mergeCell ref="A24:E24"/>
    <mergeCell ref="A1:E1"/>
    <mergeCell ref="A7:E7"/>
    <mergeCell ref="A41:E41"/>
    <mergeCell ref="A37:E37"/>
    <mergeCell ref="A27:E27"/>
    <mergeCell ref="A21:E21"/>
    <mergeCell ref="A26:E26"/>
    <mergeCell ref="A2:E2"/>
    <mergeCell ref="A42:E42"/>
    <mergeCell ref="A33:E33"/>
    <mergeCell ref="A23:E23"/>
    <mergeCell ref="A32:E32"/>
    <mergeCell ref="A22:E22"/>
    <mergeCell ref="A29:E29"/>
    <mergeCell ref="A35:E35"/>
    <mergeCell ref="A20:E20"/>
    <mergeCell ref="A38:E38"/>
    <mergeCell ref="A28:E28"/>
    <mergeCell ref="A31:E31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2026-04-03T17:00:08Z</dcterms:created>
  <dcterms:modified xmlns:dcterms="http://purl.org/dc/terms/" xmlns:xsi="http://www.w3.org/2001/XMLSchema-instance" xsi:type="dcterms:W3CDTF">2026-04-03T20:13:48Z</dcterms:modified>
</cp:coreProperties>
</file>